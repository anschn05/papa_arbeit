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90" documentId="11_7CAF4A10D76DD5A139FB0C4AE06A9885A69E191F" xr6:coauthVersionLast="47" xr6:coauthVersionMax="47" xr10:uidLastSave="{20291515-2ECA-45E9-9425-E979D17B0645}"/>
  <bookViews>
    <workbookView xWindow="0" yWindow="0" windowWidth="16305" windowHeight="825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I10" i="1" s="1"/>
  <c r="H5" i="1"/>
  <c r="I5" i="1" s="1"/>
  <c r="H6" i="1"/>
  <c r="I6" i="1" s="1"/>
  <c r="H7" i="1"/>
  <c r="I7" i="1" s="1"/>
  <c r="H8" i="1"/>
  <c r="I8" i="1" s="1"/>
  <c r="H9" i="1"/>
  <c r="I9" i="1" s="1"/>
  <c r="H11" i="1"/>
  <c r="I11" i="1" s="1"/>
  <c r="H12" i="1"/>
  <c r="I12" i="1" s="1"/>
  <c r="H4" i="1"/>
  <c r="I4" i="1" s="1"/>
  <c r="I13" i="1" l="1"/>
</calcChain>
</file>

<file path=xl/sharedStrings.xml><?xml version="1.0" encoding="utf-8"?>
<sst xmlns="http://schemas.openxmlformats.org/spreadsheetml/2006/main" count="37" uniqueCount="25">
  <si>
    <r>
      <t xml:space="preserve">März 2026: </t>
    </r>
    <r>
      <rPr>
        <b/>
        <sz val="10"/>
        <color rgb="FF000000"/>
        <rFont val="Liberation Sans"/>
      </rPr>
      <t>Anna Sonnleitner (Stundenauflistung Praktikum)</t>
    </r>
  </si>
  <si>
    <t>Tag</t>
  </si>
  <si>
    <t>Start</t>
  </si>
  <si>
    <t>Ende</t>
  </si>
  <si>
    <t>Dauer</t>
  </si>
  <si>
    <t>Tätigkeit</t>
  </si>
  <si>
    <t>Pause 
Anfang</t>
  </si>
  <si>
    <t>Pause
Ende</t>
  </si>
  <si>
    <t>Pause
Dauer</t>
  </si>
  <si>
    <t>Gesamt</t>
  </si>
  <si>
    <r>
      <t xml:space="preserve">März 2026: </t>
    </r>
    <r>
      <rPr>
        <b/>
        <sz val="10"/>
        <color rgb="FF000000"/>
        <rFont val="Liberation Sans"/>
      </rPr>
      <t>Anna Sonnleitner (Fahrten nach Waidhofen/Ybbs  - Fa. SoftSolution)</t>
    </r>
  </si>
  <si>
    <t>Einführung in die Theorie, welche Normen es für die Glasproduktion usw. gibt</t>
  </si>
  <si>
    <t>Kilometer</t>
  </si>
  <si>
    <t>Normungsunterlagen durcharbeiten</t>
  </si>
  <si>
    <t>Nummerischer Ansatz anhand theoretischem Muster</t>
  </si>
  <si>
    <t>Vergleichstest</t>
  </si>
  <si>
    <t>-</t>
  </si>
  <si>
    <t>Home-Office</t>
  </si>
  <si>
    <t>Neues Konzept betreffend Auflagepunkte</t>
  </si>
  <si>
    <t>Zwischenergebnis - MÄRZ</t>
  </si>
  <si>
    <t>Erneut neues Konzept betreffend Auflagepunkte</t>
  </si>
  <si>
    <t>Analyse der Gravitationsauswirkung auf verschiedene Glasplatten</t>
  </si>
  <si>
    <t>Code zur Speicherung der Analyse Daten geschrieben</t>
  </si>
  <si>
    <t>Debugging - falsche Randbedingungen für die Mathematik des Codes</t>
  </si>
  <si>
    <t>Punktauflager implementiren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</si>
</sst>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rgb="FF000000"/>
      <name val="Liberation Sans"/>
      <charset val="1"/>
    </font>
    <font>
      <sz val="10"/>
      <color theme="1"/>
      <name val="Liberation Sans"/>
      <charset val="1"/>
    </font>
    <font>
      <b/>
      <sz val="10"/>
      <color theme="1"/>
      <name val="Liberation Sans"/>
    </font>
    <font>
      <sz val="10"/>
      <color rgb="FFFF0000"/>
      <name val="Liberation Sans"/>
      <charset val="1"/>
    </font>
    <font>
      <b/>
      <sz val="10"/>
      <color rgb="FF000000"/>
      <name val="Liberation Sans"/>
    </font>
    <font>
      <i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/>
    <xf numFmtId="0" fontId="2" fillId="0" borderId="0" xfId="0" applyFont="1"/>
    <xf numFmtId="21" fontId="2" fillId="0" borderId="2" xfId="0" applyNumberFormat="1" applyFont="1" applyBorder="1"/>
    <xf numFmtId="0" fontId="2" fillId="0" borderId="2" xfId="0" applyFont="1" applyBorder="1"/>
    <xf numFmtId="21" fontId="2" fillId="0" borderId="4" xfId="0" applyNumberFormat="1" applyFont="1" applyBorder="1"/>
    <xf numFmtId="21" fontId="2" fillId="0" borderId="5" xfId="0" applyNumberFormat="1" applyFont="1" applyBorder="1"/>
    <xf numFmtId="0" fontId="2" fillId="0" borderId="5" xfId="0" applyFont="1" applyBorder="1"/>
    <xf numFmtId="16" fontId="2" fillId="0" borderId="6" xfId="0" applyNumberFormat="1" applyFont="1" applyBorder="1"/>
    <xf numFmtId="21" fontId="2" fillId="0" borderId="7" xfId="0" applyNumberFormat="1" applyFont="1" applyBorder="1"/>
    <xf numFmtId="0" fontId="2" fillId="0" borderId="7" xfId="0" applyFont="1" applyBorder="1"/>
    <xf numFmtId="21" fontId="2" fillId="0" borderId="8" xfId="0" applyNumberFormat="1" applyFont="1" applyBorder="1"/>
    <xf numFmtId="16" fontId="2" fillId="0" borderId="9" xfId="0" applyNumberFormat="1" applyFont="1" applyBorder="1"/>
    <xf numFmtId="21" fontId="2" fillId="0" borderId="10" xfId="0" applyNumberFormat="1" applyFont="1" applyBorder="1"/>
    <xf numFmtId="0" fontId="2" fillId="0" borderId="10" xfId="0" applyFont="1" applyBorder="1"/>
    <xf numFmtId="21" fontId="2" fillId="0" borderId="11" xfId="0" applyNumberFormat="1" applyFont="1" applyBorder="1"/>
    <xf numFmtId="16" fontId="2" fillId="0" borderId="12" xfId="0" applyNumberFormat="1" applyFont="1" applyBorder="1"/>
    <xf numFmtId="21" fontId="2" fillId="0" borderId="13" xfId="0" applyNumberFormat="1" applyFont="1" applyBorder="1"/>
    <xf numFmtId="16" fontId="2" fillId="0" borderId="14" xfId="0" applyNumberFormat="1" applyFont="1" applyBorder="1"/>
    <xf numFmtId="21" fontId="2" fillId="0" borderId="15" xfId="0" applyNumberFormat="1" applyFont="1" applyBorder="1"/>
    <xf numFmtId="16" fontId="2" fillId="0" borderId="16" xfId="0" applyNumberFormat="1" applyFont="1" applyBorder="1"/>
    <xf numFmtId="21" fontId="2" fillId="0" borderId="17" xfId="0" applyNumberFormat="1" applyFont="1" applyBorder="1"/>
    <xf numFmtId="21" fontId="4" fillId="0" borderId="10" xfId="0" applyNumberFormat="1" applyFont="1" applyBorder="1"/>
    <xf numFmtId="0" fontId="2" fillId="3" borderId="1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0" fillId="3" borderId="21" xfId="0" applyFill="1" applyBorder="1"/>
    <xf numFmtId="0" fontId="6" fillId="0" borderId="0" xfId="0" applyFont="1"/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16" fontId="2" fillId="0" borderId="22" xfId="0" applyNumberFormat="1" applyFont="1" applyBorder="1"/>
    <xf numFmtId="21" fontId="2" fillId="0" borderId="23" xfId="0" applyNumberFormat="1" applyFont="1" applyBorder="1"/>
    <xf numFmtId="0" fontId="2" fillId="0" borderId="23" xfId="0" applyFont="1" applyBorder="1"/>
    <xf numFmtId="21" fontId="2" fillId="0" borderId="24" xfId="0" applyNumberFormat="1" applyFont="1" applyBorder="1"/>
    <xf numFmtId="46" fontId="3" fillId="0" borderId="25" xfId="0" applyNumberFormat="1" applyFont="1" applyBorder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topLeftCell="A7" workbookViewId="0">
      <selection activeCell="I21" sqref="I21"/>
    </sheetView>
  </sheetViews>
  <sheetFormatPr defaultColWidth="9" defaultRowHeight="14.25"/>
  <cols>
    <col min="5" max="5" width="66.42578125" bestFit="1" customWidth="1"/>
    <col min="8" max="8" width="11.42578125" customWidth="1"/>
  </cols>
  <sheetData>
    <row r="1" spans="1:19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2"/>
      <c r="K1" s="2"/>
    </row>
    <row r="2" spans="1:19" ht="15">
      <c r="A2" s="1"/>
      <c r="B2" s="1"/>
      <c r="C2" s="2"/>
      <c r="D2" s="2"/>
      <c r="E2" s="2"/>
      <c r="F2" s="2"/>
      <c r="G2" s="2"/>
      <c r="H2" s="2"/>
      <c r="I2" s="2"/>
      <c r="J2" s="2"/>
      <c r="K2" s="2"/>
    </row>
    <row r="3" spans="1:19" ht="27.75">
      <c r="A3" s="23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5" t="s">
        <v>6</v>
      </c>
      <c r="G3" s="25" t="s">
        <v>7</v>
      </c>
      <c r="H3" s="25" t="s">
        <v>8</v>
      </c>
      <c r="I3" s="26" t="s">
        <v>9</v>
      </c>
      <c r="J3" s="2"/>
      <c r="K3" s="33" t="s">
        <v>10</v>
      </c>
      <c r="L3" s="34"/>
      <c r="M3" s="34"/>
      <c r="N3" s="34"/>
      <c r="O3" s="34"/>
      <c r="P3" s="34"/>
      <c r="Q3" s="34"/>
      <c r="R3" s="34"/>
      <c r="S3" s="34"/>
    </row>
    <row r="4" spans="1:19" ht="15">
      <c r="A4" s="20">
        <v>46086</v>
      </c>
      <c r="B4" s="6">
        <v>0.32291666666666669</v>
      </c>
      <c r="C4" s="6">
        <v>0.71527777777777779</v>
      </c>
      <c r="D4" s="6">
        <v>0.3923611111111111</v>
      </c>
      <c r="E4" s="7" t="s">
        <v>11</v>
      </c>
      <c r="F4" s="6">
        <v>0.54861111111111105</v>
      </c>
      <c r="G4" s="6">
        <v>0.57291666666666663</v>
      </c>
      <c r="H4" s="6">
        <f>G4-F4</f>
        <v>2.430555555555558E-2</v>
      </c>
      <c r="I4" s="21">
        <f>C4-B4-H4</f>
        <v>0.36805555555555552</v>
      </c>
      <c r="J4" s="2"/>
      <c r="K4" s="27" t="s">
        <v>1</v>
      </c>
      <c r="L4" s="28" t="s">
        <v>12</v>
      </c>
    </row>
    <row r="5" spans="1:19" ht="15">
      <c r="A5" s="16">
        <v>46087</v>
      </c>
      <c r="B5" s="3">
        <v>0.3125</v>
      </c>
      <c r="C5" s="3">
        <v>0.72916666666666663</v>
      </c>
      <c r="D5" s="3">
        <v>0.41666666666666669</v>
      </c>
      <c r="E5" s="4" t="s">
        <v>13</v>
      </c>
      <c r="F5" s="3">
        <v>0.54166666666666663</v>
      </c>
      <c r="G5" s="3">
        <v>0.5625</v>
      </c>
      <c r="H5" s="3">
        <f t="shared" ref="H5:H12" si="0">G5-F5</f>
        <v>2.083333333333337E-2</v>
      </c>
      <c r="I5" s="17">
        <f t="shared" ref="I5:I12" si="1">C5-B5-H5</f>
        <v>0.39583333333333326</v>
      </c>
      <c r="J5" s="2"/>
      <c r="K5" s="8">
        <v>46086</v>
      </c>
      <c r="L5" s="30">
        <v>55</v>
      </c>
    </row>
    <row r="6" spans="1:19" ht="15">
      <c r="A6" s="16">
        <v>46093</v>
      </c>
      <c r="B6" s="3">
        <v>0.33333333333333331</v>
      </c>
      <c r="C6" s="3">
        <v>0.71875</v>
      </c>
      <c r="D6" s="3">
        <v>0.38541666666666669</v>
      </c>
      <c r="E6" s="7" t="s">
        <v>14</v>
      </c>
      <c r="F6" s="3">
        <v>0.58333333333333337</v>
      </c>
      <c r="G6" s="3">
        <v>0.60416666666666663</v>
      </c>
      <c r="H6" s="3">
        <f t="shared" si="0"/>
        <v>2.0833333333333259E-2</v>
      </c>
      <c r="I6" s="17">
        <f t="shared" si="1"/>
        <v>0.36458333333333343</v>
      </c>
      <c r="J6" s="2"/>
      <c r="K6" s="16">
        <v>46087</v>
      </c>
      <c r="L6" s="31">
        <v>55</v>
      </c>
    </row>
    <row r="7" spans="1:19" ht="15">
      <c r="A7" s="18">
        <v>46095</v>
      </c>
      <c r="B7" s="5">
        <v>0.3125</v>
      </c>
      <c r="C7" s="5">
        <v>0.60416666666666663</v>
      </c>
      <c r="D7" s="5">
        <v>0.29166666666666669</v>
      </c>
      <c r="E7" s="7" t="s">
        <v>14</v>
      </c>
      <c r="F7" s="5">
        <v>0.54166666666666663</v>
      </c>
      <c r="G7" s="5">
        <v>0.5625</v>
      </c>
      <c r="H7" s="5">
        <f t="shared" si="0"/>
        <v>2.083333333333337E-2</v>
      </c>
      <c r="I7" s="19">
        <f t="shared" si="1"/>
        <v>0.27083333333333326</v>
      </c>
      <c r="J7" s="2"/>
      <c r="K7" s="16">
        <v>46093</v>
      </c>
      <c r="L7" s="31">
        <v>55</v>
      </c>
    </row>
    <row r="8" spans="1:19" ht="15">
      <c r="A8" s="8">
        <v>46100</v>
      </c>
      <c r="B8" s="9">
        <v>0.33333333333333331</v>
      </c>
      <c r="C8" s="9">
        <v>0.64583333333333337</v>
      </c>
      <c r="D8" s="9">
        <v>0.3125</v>
      </c>
      <c r="E8" s="10" t="s">
        <v>15</v>
      </c>
      <c r="F8" s="9">
        <v>0.51041666666666663</v>
      </c>
      <c r="G8" s="9">
        <v>0.53125</v>
      </c>
      <c r="H8" s="9">
        <f t="shared" si="0"/>
        <v>2.083333333333337E-2</v>
      </c>
      <c r="I8" s="11">
        <f t="shared" si="1"/>
        <v>0.29166666666666669</v>
      </c>
      <c r="J8" s="2"/>
      <c r="K8" s="16">
        <v>46095</v>
      </c>
      <c r="L8" s="31">
        <v>55</v>
      </c>
    </row>
    <row r="9" spans="1:19" ht="15">
      <c r="A9" s="12">
        <v>46100</v>
      </c>
      <c r="B9" s="13">
        <v>0.75</v>
      </c>
      <c r="C9" s="13">
        <v>0.79166666666666663</v>
      </c>
      <c r="D9" s="13">
        <v>4.1666666666666664E-2</v>
      </c>
      <c r="E9" s="14" t="s">
        <v>15</v>
      </c>
      <c r="F9" s="22">
        <v>0</v>
      </c>
      <c r="G9" s="22">
        <v>0</v>
      </c>
      <c r="H9" s="13">
        <f t="shared" si="0"/>
        <v>0</v>
      </c>
      <c r="I9" s="15">
        <f t="shared" si="1"/>
        <v>4.166666666666663E-2</v>
      </c>
      <c r="J9" s="2"/>
      <c r="K9" s="16">
        <v>46100</v>
      </c>
      <c r="L9" s="31">
        <v>55</v>
      </c>
    </row>
    <row r="10" spans="1:19" ht="15">
      <c r="A10" s="20">
        <v>46101</v>
      </c>
      <c r="B10" s="6">
        <v>0.3125</v>
      </c>
      <c r="C10" s="6">
        <v>0.5625</v>
      </c>
      <c r="D10" s="6">
        <v>0.29166666666666669</v>
      </c>
      <c r="E10" s="7" t="s">
        <v>14</v>
      </c>
      <c r="F10" s="22">
        <v>0</v>
      </c>
      <c r="G10" s="22">
        <v>0</v>
      </c>
      <c r="H10" s="6">
        <f t="shared" ref="H10" si="2">G10-F10</f>
        <v>0</v>
      </c>
      <c r="I10" s="21">
        <f t="shared" ref="I10" si="3">C10-B10-H10</f>
        <v>0.25</v>
      </c>
      <c r="J10" s="2"/>
      <c r="K10" s="16">
        <v>46101</v>
      </c>
      <c r="L10" s="31" t="s">
        <v>16</v>
      </c>
      <c r="M10" s="29" t="s">
        <v>17</v>
      </c>
    </row>
    <row r="11" spans="1:19" ht="15">
      <c r="A11" s="16">
        <v>46107</v>
      </c>
      <c r="B11" s="3">
        <v>0.32291666666666669</v>
      </c>
      <c r="C11" s="3">
        <v>0.71527777777777779</v>
      </c>
      <c r="D11" s="3">
        <v>0.3923611111111111</v>
      </c>
      <c r="E11" s="4" t="s">
        <v>15</v>
      </c>
      <c r="F11" s="3">
        <v>0.54861111111111116</v>
      </c>
      <c r="G11" s="3">
        <v>0.57291666666666663</v>
      </c>
      <c r="H11" s="3">
        <f t="shared" si="0"/>
        <v>2.4305555555555469E-2</v>
      </c>
      <c r="I11" s="17">
        <f t="shared" si="1"/>
        <v>0.36805555555555564</v>
      </c>
      <c r="J11" s="2"/>
      <c r="K11" s="16">
        <v>46107</v>
      </c>
      <c r="L11" s="31">
        <v>55</v>
      </c>
    </row>
    <row r="12" spans="1:19" ht="15">
      <c r="A12" s="12">
        <v>46108</v>
      </c>
      <c r="B12" s="13">
        <v>0.3125</v>
      </c>
      <c r="C12" s="13">
        <v>0.72916666666666663</v>
      </c>
      <c r="D12" s="13">
        <v>0.41666666666666669</v>
      </c>
      <c r="E12" s="14" t="s">
        <v>18</v>
      </c>
      <c r="F12" s="13">
        <v>0.51041666666666663</v>
      </c>
      <c r="G12" s="13">
        <v>0.53125</v>
      </c>
      <c r="H12" s="13">
        <f t="shared" si="0"/>
        <v>2.083333333333337E-2</v>
      </c>
      <c r="I12" s="15">
        <f t="shared" si="1"/>
        <v>0.39583333333333326</v>
      </c>
      <c r="J12" s="2"/>
      <c r="K12" s="12">
        <v>46108</v>
      </c>
      <c r="L12" s="32" t="s">
        <v>16</v>
      </c>
      <c r="M12" s="29" t="s">
        <v>17</v>
      </c>
    </row>
    <row r="13" spans="1:19" ht="15">
      <c r="A13" t="s">
        <v>19</v>
      </c>
      <c r="I13" s="39">
        <f>SUM(I4:I12)</f>
        <v>2.7465277777777777</v>
      </c>
      <c r="J13" s="2"/>
    </row>
    <row r="14" spans="1:19" ht="15">
      <c r="A14" s="35">
        <v>46114</v>
      </c>
      <c r="B14" s="36">
        <v>0.38541666666666669</v>
      </c>
      <c r="C14" s="36">
        <v>0.71527777777777779</v>
      </c>
      <c r="D14" s="36">
        <v>0.3298611111111111</v>
      </c>
      <c r="E14" s="37" t="s">
        <v>20</v>
      </c>
      <c r="F14" s="36">
        <v>0.5625</v>
      </c>
      <c r="G14" s="36">
        <v>0.57986111111111116</v>
      </c>
      <c r="H14" s="36">
        <v>1.7361111111111112E-2</v>
      </c>
      <c r="I14" s="38">
        <v>0.3125</v>
      </c>
      <c r="J14" s="2"/>
    </row>
    <row r="15" spans="1:19" ht="15">
      <c r="A15" s="16">
        <v>46114</v>
      </c>
      <c r="B15" s="3">
        <v>0.45833333333333331</v>
      </c>
      <c r="C15" s="3">
        <v>5.5555555555555552E-2</v>
      </c>
      <c r="D15" s="3">
        <v>9.7222222222222224E-2</v>
      </c>
      <c r="E15" s="7" t="s">
        <v>21</v>
      </c>
      <c r="F15" s="3">
        <v>0</v>
      </c>
      <c r="G15" s="3">
        <v>0</v>
      </c>
      <c r="H15" s="3">
        <v>0</v>
      </c>
      <c r="I15" s="17">
        <v>9.7222222222222224E-2</v>
      </c>
      <c r="J15" s="2"/>
      <c r="K15" s="2"/>
    </row>
    <row r="16" spans="1:19" ht="15">
      <c r="A16" s="16">
        <v>46115</v>
      </c>
      <c r="B16" s="3">
        <v>0.40972222222222221</v>
      </c>
      <c r="C16" s="3">
        <v>0.49652777777777779</v>
      </c>
      <c r="D16" s="3">
        <v>8.6805555555555552E-2</v>
      </c>
      <c r="E16" s="4" t="s">
        <v>22</v>
      </c>
      <c r="F16" s="3">
        <v>0</v>
      </c>
      <c r="G16" s="3">
        <v>0</v>
      </c>
      <c r="H16" s="3">
        <v>0</v>
      </c>
      <c r="I16" s="17">
        <v>8.6805555555555552E-2</v>
      </c>
      <c r="J16" s="2"/>
      <c r="K16" s="2"/>
    </row>
    <row r="17" spans="1:9" ht="15">
      <c r="A17" s="16">
        <v>46121</v>
      </c>
      <c r="B17" s="3">
        <v>0.3263888888888889</v>
      </c>
      <c r="C17" s="3">
        <v>0.68402777777777779</v>
      </c>
      <c r="D17" s="3">
        <v>0.3576388888888889</v>
      </c>
      <c r="E17" s="7" t="s">
        <v>23</v>
      </c>
      <c r="F17" s="3">
        <v>0.50694444444444442</v>
      </c>
      <c r="G17" s="3">
        <v>0.54166666666666663</v>
      </c>
      <c r="H17" s="3">
        <v>3.4722222222222224E-2</v>
      </c>
      <c r="I17" s="17">
        <v>0.32291666666666669</v>
      </c>
    </row>
    <row r="18" spans="1:9" ht="15">
      <c r="A18" s="16">
        <v>46128</v>
      </c>
      <c r="B18" s="3">
        <v>0.36458333333333331</v>
      </c>
      <c r="C18" s="3">
        <v>0.63888888888888884</v>
      </c>
      <c r="D18" s="3">
        <v>0.27430555555555558</v>
      </c>
      <c r="E18" s="7" t="s">
        <v>24</v>
      </c>
      <c r="F18" s="3">
        <v>0.51736111111111116</v>
      </c>
      <c r="G18" s="3">
        <v>0.54513888888888884</v>
      </c>
      <c r="H18" s="3">
        <v>2.7777777777777776E-2</v>
      </c>
      <c r="I18" s="17">
        <v>0.24652777777777779</v>
      </c>
    </row>
    <row r="19" spans="1:9" ht="15">
      <c r="A19" s="16">
        <v>46135</v>
      </c>
      <c r="B19" s="3">
        <v>0.29166666666666669</v>
      </c>
      <c r="C19" s="3">
        <v>0.3125</v>
      </c>
      <c r="D19" s="3">
        <v>2.0833333333333332E-2</v>
      </c>
      <c r="E19" s="7" t="s">
        <v>24</v>
      </c>
      <c r="F19" s="3" t="s">
        <v>16</v>
      </c>
      <c r="G19" s="3" t="s">
        <v>16</v>
      </c>
      <c r="H19" s="3" t="s">
        <v>16</v>
      </c>
      <c r="I19" s="17">
        <v>2.0833333333333332E-2</v>
      </c>
    </row>
    <row r="20" spans="1:9" ht="15">
      <c r="A20" s="16">
        <v>46135</v>
      </c>
      <c r="B20" s="3">
        <v>0.3611111111111111</v>
      </c>
      <c r="C20" s="3">
        <v>0.75</v>
      </c>
      <c r="D20" s="3">
        <v>0.3888888888888889</v>
      </c>
      <c r="E20" s="7" t="s">
        <v>24</v>
      </c>
      <c r="F20" s="3">
        <v>0.50347222222222221</v>
      </c>
      <c r="G20" s="3">
        <v>0.51736111111111116</v>
      </c>
      <c r="H20" s="3">
        <v>1.3888888888888888E-2</v>
      </c>
      <c r="I20" s="17">
        <v>0.375</v>
      </c>
    </row>
    <row r="21" spans="1:9" ht="15">
      <c r="A21" s="16">
        <v>46136</v>
      </c>
      <c r="B21" s="3">
        <v>0.41666666666666669</v>
      </c>
      <c r="C21" s="3"/>
      <c r="D21" s="3"/>
      <c r="E21" s="7"/>
      <c r="F21" s="3">
        <v>0.55902777777777779</v>
      </c>
      <c r="G21" s="3">
        <v>0.59375</v>
      </c>
      <c r="H21" s="3">
        <v>3.4722222222222224E-2</v>
      </c>
      <c r="I21" s="17"/>
    </row>
    <row r="22" spans="1:9" ht="15">
      <c r="A22" s="16"/>
      <c r="B22" s="3"/>
      <c r="C22" s="3"/>
      <c r="D22" s="3"/>
      <c r="E22" s="7"/>
      <c r="F22" s="3"/>
      <c r="G22" s="3"/>
      <c r="H22" s="3"/>
      <c r="I22" s="17"/>
    </row>
    <row r="23" spans="1:9" ht="15">
      <c r="A23" s="16"/>
      <c r="B23" s="3"/>
      <c r="C23" s="3"/>
      <c r="D23" s="3"/>
      <c r="E23" s="7"/>
      <c r="F23" s="3"/>
      <c r="G23" s="3"/>
      <c r="H23" s="3"/>
      <c r="I23" s="17"/>
    </row>
    <row r="24" spans="1:9" ht="15">
      <c r="A24" s="16"/>
      <c r="B24" s="3"/>
      <c r="C24" s="3"/>
      <c r="D24" s="3"/>
      <c r="E24" s="7"/>
      <c r="F24" s="3"/>
      <c r="G24" s="3"/>
      <c r="H24" s="3"/>
      <c r="I24" s="17"/>
    </row>
    <row r="25" spans="1:9" ht="15">
      <c r="A25" s="16"/>
      <c r="B25" s="3"/>
      <c r="C25" s="3"/>
      <c r="D25" s="3"/>
      <c r="E25" s="7"/>
      <c r="F25" s="3"/>
      <c r="G25" s="3"/>
      <c r="H25" s="3"/>
      <c r="I25" s="17"/>
    </row>
    <row r="26" spans="1:9" ht="15">
      <c r="A26" s="16"/>
      <c r="B26" s="3"/>
      <c r="C26" s="3"/>
      <c r="D26" s="3"/>
      <c r="E26" s="7"/>
      <c r="F26" s="3"/>
      <c r="G26" s="3"/>
      <c r="H26" s="3"/>
      <c r="I26" s="17"/>
    </row>
    <row r="27" spans="1:9" ht="15">
      <c r="A27" s="16"/>
      <c r="B27" s="3"/>
      <c r="C27" s="3"/>
      <c r="D27" s="3"/>
      <c r="E27" s="7"/>
      <c r="F27" s="3"/>
      <c r="G27" s="3"/>
      <c r="H27" s="3"/>
      <c r="I27" s="17"/>
    </row>
    <row r="28" spans="1:9" ht="15">
      <c r="A28" s="16"/>
      <c r="B28" s="3"/>
      <c r="C28" s="3"/>
      <c r="D28" s="3"/>
      <c r="E28" s="7"/>
      <c r="F28" s="3"/>
      <c r="G28" s="3"/>
      <c r="H28" s="3"/>
      <c r="I28" s="17"/>
    </row>
    <row r="29" spans="1:9" ht="15">
      <c r="A29" s="16"/>
      <c r="B29" s="3"/>
      <c r="C29" s="3"/>
      <c r="D29" s="3"/>
      <c r="E29" s="7"/>
      <c r="F29" s="3"/>
      <c r="G29" s="3"/>
      <c r="H29" s="3"/>
      <c r="I29" s="17"/>
    </row>
    <row r="30" spans="1:9" ht="15">
      <c r="A30" s="16"/>
      <c r="B30" s="3"/>
      <c r="C30" s="3"/>
      <c r="D30" s="3"/>
      <c r="E30" s="7"/>
      <c r="F30" s="3"/>
      <c r="G30" s="3"/>
      <c r="H30" s="3"/>
      <c r="I30" s="17"/>
    </row>
    <row r="31" spans="1:9" ht="15">
      <c r="A31" s="16"/>
      <c r="B31" s="3"/>
      <c r="C31" s="3"/>
      <c r="D31" s="3"/>
      <c r="E31" s="7"/>
      <c r="F31" s="3"/>
      <c r="G31" s="3"/>
      <c r="H31" s="3"/>
      <c r="I31" s="17"/>
    </row>
    <row r="32" spans="1:9" ht="15">
      <c r="A32" s="16"/>
      <c r="B32" s="3"/>
      <c r="C32" s="3"/>
      <c r="D32" s="3"/>
      <c r="E32" s="7"/>
      <c r="F32" s="3"/>
      <c r="G32" s="3"/>
      <c r="H32" s="3"/>
      <c r="I32" s="17"/>
    </row>
    <row r="33" spans="1:9" ht="15">
      <c r="A33" s="16"/>
      <c r="B33" s="3"/>
      <c r="C33" s="3"/>
      <c r="D33" s="3"/>
      <c r="E33" s="7"/>
      <c r="F33" s="3"/>
      <c r="G33" s="3"/>
      <c r="H33" s="3"/>
      <c r="I33" s="17"/>
    </row>
    <row r="34" spans="1:9" ht="15">
      <c r="A34" s="16"/>
      <c r="B34" s="3"/>
      <c r="C34" s="3"/>
      <c r="D34" s="3"/>
      <c r="E34" s="7"/>
      <c r="F34" s="3"/>
      <c r="G34" s="3"/>
      <c r="H34" s="3"/>
      <c r="I34" s="17"/>
    </row>
    <row r="35" spans="1:9" ht="15">
      <c r="A35" s="16"/>
      <c r="B35" s="3"/>
      <c r="C35" s="3"/>
      <c r="D35" s="3"/>
      <c r="E35" s="7"/>
      <c r="F35" s="3"/>
      <c r="G35" s="3"/>
      <c r="H35" s="3"/>
      <c r="I35" s="17"/>
    </row>
    <row r="36" spans="1:9" ht="15">
      <c r="A36" s="16"/>
      <c r="B36" s="3"/>
      <c r="C36" s="3"/>
      <c r="D36" s="3"/>
      <c r="E36" s="7"/>
      <c r="F36" s="3"/>
      <c r="G36" s="3"/>
      <c r="H36" s="3"/>
      <c r="I36" s="17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Hermann Sonnleitner</dc:creator>
  <cp:keywords/>
  <dc:description/>
  <cp:lastModifiedBy>Sonnleitner, Anna</cp:lastModifiedBy>
  <cp:revision/>
  <dcterms:created xsi:type="dcterms:W3CDTF">2026-03-19T18:46:00Z</dcterms:created>
  <dcterms:modified xsi:type="dcterms:W3CDTF">2026-04-24T13:13:23Z</dcterms:modified>
  <cp:category/>
  <cp:contentStatus/>
</cp:coreProperties>
</file>